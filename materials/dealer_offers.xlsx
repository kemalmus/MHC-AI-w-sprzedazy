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427853de794b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ferty" sheetId="1" r:id="R01382a482c774e36"/>
    <x:sheet xmlns:r="http://schemas.openxmlformats.org/officeDocument/2006/relationships" name="Obliczenia" sheetId="2" r:id="Ra012a7540f774ca6"/>
    <x:sheet xmlns:r="http://schemas.openxmlformats.org/officeDocument/2006/relationships" name="Trainer_Check" sheetId="3" r:id="R416adf8290a4429e" state="hidden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 &quot;zł&quot;"/>
    <x:numFmt numFmtId="201" formatCode="#,##0 &quot;zł (inny rocznik cennika)&quot;"/>
    <x:numFmt numFmtId="202" formatCode="0%"/>
    <x:numFmt numFmtId="203" formatCode="0% &quot; + pakiet gratis&quot;"/>
    <x:numFmt numFmtId="204" formatCode="#,##0 &quot;aut&quot;"/>
  </x:numFmts>
  <x:fonts count="14">
    <x:font>
      <x:sz val="11"/>
      <x:name val="Carlito"/>
    </x:font>
    <x:font>
      <x:sz val="10"/>
      <x:color rgb="FF1F2937"/>
      <x:name val="Arial"/>
    </x:font>
    <x:font>
      <x:b/>
      <x:sz val="10"/>
      <x:color rgb="FF7F6000"/>
      <x:name val="Arial"/>
    </x:font>
    <x:font>
      <x:b/>
      <x:sz val="14"/>
      <x:color rgb="FF1F4E78"/>
      <x:name val="Arial"/>
    </x:font>
    <x:font>
      <x:i/>
      <x:sz val="10"/>
      <x:color rgb="FF526171"/>
      <x:name val="Arial"/>
    </x:font>
    <x:font>
      <x:b/>
      <x:sz val="10"/>
      <x:color rgb="FFFFFFFF"/>
      <x:name val="Arial"/>
    </x:font>
    <x:font>
      <x:b/>
      <x:sz val="9"/>
      <x:color rgb="FF526171"/>
      <x:name val="Arial"/>
    </x:font>
    <x:font>
      <x:i/>
      <x:sz val="9"/>
      <x:color rgb="FF526171"/>
      <x:name val="Arial"/>
    </x:font>
    <x:font>
      <x:b/>
      <x:sz val="10"/>
      <x:color rgb="FF1F4E78"/>
      <x:name val="Arial"/>
    </x:font>
    <x:font>
      <x:b/>
      <x:sz val="10"/>
      <x:color rgb="FF26384A"/>
      <x:name val="Arial"/>
    </x:font>
    <x:font>
      <x:b/>
      <x:sz val="9"/>
      <x:color rgb="FFFFFFFF"/>
      <x:name val="Arial"/>
    </x:font>
    <x:font>
      <x:sz val="10"/>
      <x:color rgb="FF26384A"/>
      <x:name val="Arial"/>
    </x:font>
    <x:font>
      <x:b/>
      <x:sz val="9"/>
      <x:color rgb="FF26384A"/>
      <x:name val="Arial"/>
    </x:font>
    <x:font>
      <x:sz val="9"/>
      <x:color rgb="FF26384A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EAF1F8"/>
      </x:patternFill>
    </x:fill>
    <x:fill>
      <x:patternFill patternType="solid">
        <x:fgColor rgb="FFF3F6F9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D9E2F0"/>
      </x:bottom>
      <x:diagonal/>
    </x:border>
    <x:border>
      <x:left/>
      <x:right/>
      <x:top style="thin">
        <x:color rgb="FFD9E2F0"/>
      </x:top>
      <x:bottom style="thin">
        <x:color rgb="FFD9E2F0"/>
      </x:bottom>
      <x:diagonal/>
    </x:border>
  </x:borders>
  <x:cellStyleXfs count="1">
    <x:xf numFmtId="0" fontId="0" fillId="0" borderId="0"/>
  </x:cellStyleXfs>
  <x:cellXfs count="7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 wrapText="1"/>
    </x:xf>
    <x:xf numFmtId="200" fontId="1" fillId="0" borderId="2" xfId="0" applyNumberFormat="1" applyFont="1" applyFill="1" applyBorder="1" applyAlignment="1">
      <x:alignment vertical="center" wrapText="1"/>
    </x:xf>
    <x:xf numFmtId="201" fontId="1" fillId="0" borderId="2" xfId="0" applyNumberFormat="1" applyFont="1" applyFill="1" applyBorder="1" applyAlignment="1">
      <x:alignment vertical="center" wrapText="1"/>
    </x:xf>
    <x:xf numFmtId="202" fontId="1" fillId="0" borderId="2" xfId="0" applyNumberFormat="1" applyFont="1" applyFill="1" applyBorder="1" applyAlignment="1">
      <x:alignment vertical="center" wrapText="1"/>
    </x:xf>
    <x:xf numFmtId="203" fontId="1" fillId="0" borderId="2" xfId="0" applyNumberFormat="1" applyFont="1" applyFill="1" applyBorder="1" applyAlignment="1">
      <x:alignment vertical="center" wrapText="1"/>
    </x:xf>
    <x:xf numFmtId="201" fontId="1" fillId="2" borderId="2" xfId="0" applyNumberFormat="1" applyFont="1" applyFill="1" applyBorder="1" applyAlignment="1">
      <x:alignment vertical="center" wrapText="1"/>
    </x:xf>
    <x:xf numFmtId="203" fontId="1" fillId="2" borderId="2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204" fontId="1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204" fontId="1" fillId="2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/>
    </x:xf>
    <x:xf numFmtId="202" fontId="1" fillId="2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0" fontId="5" fillId="3" borderId="1" xfId="0" applyNumberFormat="1" applyFont="1" applyFill="1" applyBorder="1" applyAlignment="1">
      <x:alignment horizontal="center" vertical="center" wrapText="1"/>
    </x:xf>
    <x:xf numFmtId="0" fontId="9" fillId="0" borderId="2" xfId="0" applyNumberFormat="1" applyFont="1" applyFill="1" applyBorder="1" applyAlignment="1">
      <x:alignment vertical="center"/>
    </x:xf>
    <x:xf numFmtId="202" fontId="1" fillId="2" borderId="2" xfId="0" applyNumberFormat="1" applyFont="1" applyFill="1" applyBorder="1" applyAlignment="1">
      <x:alignment vertical="center"/>
    </x:xf>
    <x:xf numFmtId="200" fontId="1" fillId="2" borderId="2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9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9" fillId="0" borderId="2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8" fillId="4" borderId="0" xfId="0" applyNumberFormat="1" applyFont="1" applyFill="1" applyBorder="1" applyAlignment="1">
      <x:alignment vertical="center"/>
    </x:xf>
    <x:xf numFmtId="0" fontId="9" fillId="0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202" fontId="1" fillId="2" borderId="2" xfId="0" applyNumberFormat="1" applyFont="1" applyFill="1" applyBorder="1" applyAlignment="1">
      <x:alignment vertical="center" wrapText="1"/>
    </x:xf>
    <x:xf numFmtId="200" fontId="1" fillId="2" borderId="2" xfId="0" applyNumberFormat="1" applyFont="1" applyFill="1" applyBorder="1" applyAlignment="1">
      <x:alignment vertical="center" wrapText="1"/>
    </x:xf>
    <x:xf numFmtId="0" fontId="8" fillId="4" borderId="0" xfId="0" applyNumberFormat="1" applyFont="1" applyFill="1" applyBorder="1" applyAlignment="1">
      <x:alignment vertical="center" wrapText="1"/>
    </x:xf>
    <x:xf numFmtId="0" fontId="10" fillId="3" borderId="0" xfId="0" applyNumberFormat="1" applyFont="1" applyFill="1" applyBorder="1" applyAlignment="1">
      <x:alignment vertical="center"/>
    </x:xf>
    <x:xf numFmtId="0" fontId="10" fillId="3" borderId="0" xfId="0" applyNumberFormat="1" applyFont="1" applyFill="1" applyBorder="1" applyAlignment="1">
      <x:alignment vertical="center" wrapText="1"/>
    </x:xf>
    <x:xf numFmtId="0" fontId="10" fillId="3" borderId="0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1" fillId="4" borderId="2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vertical="center" wrapText="1"/>
    </x:xf>
    <x:xf numFmtId="0" fontId="1" fillId="5" borderId="2" xfId="0" applyNumberFormat="1" applyFont="1" applyFill="1" applyBorder="1" applyAlignment="1">
      <x:alignment vertical="center" wrapText="1"/>
    </x:xf>
    <x:xf numFmtId="200" fontId="1" fillId="4" borderId="1" xfId="0" applyNumberFormat="1" applyFont="1" applyFill="1" applyBorder="1" applyAlignment="1">
      <x:alignment vertical="center" wrapText="1"/>
    </x:xf>
    <x:xf numFmtId="200" fontId="1" fillId="4" borderId="2" xfId="0" applyNumberFormat="1" applyFont="1" applyFill="1" applyBorder="1" applyAlignment="1">
      <x:alignment vertical="center" wrapText="1"/>
    </x:xf>
    <x:xf numFmtId="202" fontId="1" fillId="4" borderId="1" xfId="0" applyNumberFormat="1" applyFont="1" applyFill="1" applyBorder="1" applyAlignment="1">
      <x:alignment vertical="center" wrapText="1"/>
    </x:xf>
    <x:xf numFmtId="202" fontId="1" fillId="4" borderId="2" xfId="0" applyNumberFormat="1" applyFont="1" applyFill="1" applyBorder="1" applyAlignment="1">
      <x:alignment vertical="center" wrapText="1"/>
    </x:xf>
    <x:xf numFmtId="200" fontId="1" fillId="5" borderId="1" xfId="0" applyNumberFormat="1" applyFont="1" applyFill="1" applyBorder="1" applyAlignment="1">
      <x:alignment vertical="center" wrapText="1"/>
    </x:xf>
    <x:xf numFmtId="200" fontId="1" fillId="2" borderId="1" xfId="0" applyNumberFormat="1" applyFont="1" applyFill="1" applyBorder="1" applyAlignment="1">
      <x:alignment vertical="center" wrapText="1"/>
    </x:xf>
    <x:xf numFmtId="200" fontId="1" fillId="5" borderId="2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0"/>
    </x:xf>
    <x:xf numFmtId="0" fontId="11" fillId="0" borderId="0" xfId="0" applyNumberFormat="1" applyFont="1" applyFill="1" applyBorder="1" applyAlignment="1">
      <x:alignment vertical="center" wrapText="0"/>
    </x:xf>
    <x:xf numFmtId="0" fontId="12" fillId="3" borderId="0" xfId="0" applyNumberFormat="1" applyFont="1" applyFill="1" applyBorder="1" applyAlignment="1">
      <x:alignment horizontal="center" vertical="center" wrapText="1"/>
    </x:xf>
    <x:xf numFmtId="0" fontId="13" fillId="0" borderId="1" xfId="0" applyNumberFormat="1" applyFont="1" applyFill="1" applyBorder="1" applyAlignment="1">
      <x:alignment vertical="center" wrapText="1"/>
    </x:xf>
    <x:xf numFmtId="200" fontId="13" fillId="4" borderId="1" xfId="0" applyNumberFormat="1" applyFont="1" applyFill="1" applyBorder="1" applyAlignment="1">
      <x:alignment vertical="center" wrapText="1"/>
    </x:xf>
    <x:xf numFmtId="202" fontId="13" fillId="4" borderId="1" xfId="0" applyNumberFormat="1" applyFont="1" applyFill="1" applyBorder="1" applyAlignment="1">
      <x:alignment vertical="center" wrapText="1"/>
    </x:xf>
    <x:xf numFmtId="200" fontId="13" fillId="5" borderId="1" xfId="0" applyNumberFormat="1" applyFont="1" applyFill="1" applyBorder="1" applyAlignment="1">
      <x:alignment vertical="center" wrapText="1"/>
    </x:xf>
    <x:xf numFmtId="200" fontId="13" fillId="2" borderId="1" xfId="0" applyNumberFormat="1" applyFont="1" applyFill="1" applyBorder="1" applyAlignment="1">
      <x:alignment vertical="center" wrapText="1"/>
    </x:xf>
    <x:xf numFmtId="200" fontId="13" fillId="0" borderId="1" xfId="0" applyNumberFormat="1" applyFont="1" applyFill="1" applyBorder="1" applyAlignment="1">
      <x:alignment vertical="center" wrapText="1"/>
    </x:xf>
    <x:xf numFmtId="0" fontId="13" fillId="0" borderId="2" xfId="0" applyNumberFormat="1" applyFont="1" applyFill="1" applyBorder="1" applyAlignment="1">
      <x:alignment vertical="center" wrapText="1"/>
    </x:xf>
    <x:xf numFmtId="200" fontId="13" fillId="4" borderId="2" xfId="0" applyNumberFormat="1" applyFont="1" applyFill="1" applyBorder="1" applyAlignment="1">
      <x:alignment vertical="center" wrapText="1"/>
    </x:xf>
    <x:xf numFmtId="202" fontId="13" fillId="4" borderId="2" xfId="0" applyNumberFormat="1" applyFont="1" applyFill="1" applyBorder="1" applyAlignment="1">
      <x:alignment vertical="center" wrapText="1"/>
    </x:xf>
    <x:xf numFmtId="200" fontId="13" fillId="5" borderId="2" xfId="0" applyNumberFormat="1" applyFont="1" applyFill="1" applyBorder="1" applyAlignment="1">
      <x:alignment vertical="center" wrapText="1"/>
    </x:xf>
    <x:xf numFmtId="200" fontId="13" fillId="2" borderId="2" xfId="0" applyNumberFormat="1" applyFont="1" applyFill="1" applyBorder="1" applyAlignment="1">
      <x:alignment vertical="center" wrapText="1"/>
    </x:xf>
    <x:xf numFmtId="200" fontId="13" fillId="0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21baef76fc4a45" /><Relationship Type="http://schemas.openxmlformats.org/officeDocument/2006/relationships/theme" Target="/xl/theme/theme1.xml" Id="Rff38d9d2fdcb4c0c" /><Relationship Type="http://schemas.openxmlformats.org/officeDocument/2006/relationships/sharedStrings" Target="/xl/sharedStrings.xml" Id="Re1b79e6f85c34115" /><Relationship Type="http://schemas.openxmlformats.org/officeDocument/2006/relationships/worksheet" Target="/xl/worksheets/sheet1.xml" Id="R01382a482c774e36" /><Relationship Type="http://schemas.openxmlformats.org/officeDocument/2006/relationships/worksheet" Target="/xl/worksheets/sheet2.xml" Id="Ra012a7540f774ca6" /><Relationship Type="http://schemas.openxmlformats.org/officeDocument/2006/relationships/worksheet" Target="/xl/worksheets/sheet3.xml" Id="R416adf8290a4429e" /></Relationships>
</file>

<file path=xl/tables/table1.xml><?xml version="1.0" encoding="utf-8"?>
<x:table xmlns:x="http://schemas.openxmlformats.org/spreadsheetml/2006/main" id="1" name="DealerOffers" displayName="DealerOffers" ref="A6:D13" headerRowCount="1" totalsRowCount="0" totalsRowShown="0">
  <x:tableColumns count="4">
    <x:tableColumn id="1" name="Kryterium"/>
    <x:tableColumn id="2" name="Dealer A (Warszawa)"/>
    <x:tableColumn id="3" name="Dealer B (Łódź)"/>
    <x:tableColumn id="4" name="Dealer C (Poznań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78116fe473d441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41" hidden="0" customWidth="1"/>
    <x:col min="3" max="3" width="41" hidden="0" customWidth="1"/>
    <x:col min="4" max="4" width="41" hidden="0" customWidth="1"/>
  </x:cols>
  <x:sheetData>
    <x:row r="2">
      <x:c r="A2" s="4" t="str">
        <x:v>TRAINING / FICTIONAL DATA</x:v>
      </x:c>
      <x:c r="B2" s="3"/>
      <x:c r="C2" s="3"/>
      <x:c r="D2" s="3"/>
    </x:row>
    <x:row r="3">
      <x:c r="A3" s="5" t="str">
        <x:v>Porównanie ofert dealerów i kontrola liczb</x:v>
      </x:c>
      <x:c r="B3" s="2"/>
      <x:c r="C3" s="2"/>
      <x:c r="D3" s="2"/>
    </x:row>
    <x:row r="4">
      <x:c r="A4" s="6" t="str">
        <x:v>Materiał szkoleniowy. Kwoty netto. Zamówienie: 12 aut. Wszystkie dane są fikcyjne.</x:v>
      </x:c>
      <x:c r="B4" s="2"/>
      <x:c r="C4" s="2"/>
      <x:c r="D4" s="2"/>
    </x:row>
    <x:row r="5">
      <x:c r="A5" s="2"/>
      <x:c r="B5" s="2"/>
      <x:c r="C5" s="2"/>
      <x:c r="D5" s="2"/>
    </x:row>
    <x:row r="6" ht="32" customHeight="1">
      <x:c r="A6" s="10" t="str">
        <x:v>Kryterium</x:v>
      </x:c>
      <x:c r="B6" s="10" t="str">
        <x:v>Dealer A (Warszawa)</x:v>
      </x:c>
      <x:c r="C6" s="10" t="str">
        <x:v>Dealer B (Łódź)</x:v>
      </x:c>
      <x:c r="D6" s="10" t="str">
        <x:v>Dealer C (Poznań)</x:v>
      </x:c>
    </x:row>
    <x:row r="7" ht="48" customHeight="1">
      <x:c r="A7" s="12" t="str">
        <x:v>Model</x:v>
      </x:c>
      <x:c r="B7" s="12" t="str">
        <x:v>Skoda Octavia Combi 1.5 TSI mHEV 150 KM DSG Selection</x:v>
      </x:c>
      <x:c r="C7" s="12" t="str">
        <x:v>Skoda Octavia Combi 1.5 TSI mHEV 150 KM DSG Selection</x:v>
      </x:c>
      <x:c r="D7" s="12" t="str">
        <x:v>Skoda Octavia Combi 1.5 TSI mHEV 150 KM DSG Selection</x:v>
      </x:c>
    </x:row>
    <x:row r="8" ht="28" customHeight="1">
      <x:c r="A8" s="13" t="str">
        <x:v>Cena katalogowa netto</x:v>
      </x:c>
      <x:c r="B8" s="14" t="n">
        <x:v>132500</x:v>
      </x:c>
      <x:c r="C8" s="14" t="n">
        <x:v>132500</x:v>
      </x:c>
      <x:c r="D8" s="18" t="n">
        <x:v>131900</x:v>
      </x:c>
    </x:row>
    <x:row r="9" ht="28" customHeight="1">
      <x:c r="A9" s="13" t="str">
        <x:v>Rabat flotowy</x:v>
      </x:c>
      <x:c r="B9" s="16" t="n">
        <x:v>0.14</x:v>
      </x:c>
      <x:c r="C9" s="16" t="n">
        <x:v>0.16</x:v>
      </x:c>
      <x:c r="D9" s="19" t="n">
        <x:v>0.12</x:v>
      </x:c>
    </x:row>
    <x:row r="10" ht="28" customHeight="1">
      <x:c r="A10" s="13" t="str">
        <x:v>Pakiety w cenie</x:v>
      </x:c>
      <x:c r="B10" s="13" t="str">
        <x:v>Pakiet zimowy</x:v>
      </x:c>
      <x:c r="C10" s="13" t="str">
        <x:v>brak</x:v>
      </x:c>
      <x:c r="D10" s="13" t="str">
        <x:v>Pakiet zimowy + Pakiet Business (nawigacja, kamera)</x:v>
      </x:c>
    </x:row>
    <x:row r="11" ht="28" customHeight="1">
      <x:c r="A11" s="13" t="str">
        <x:v>Wartość pakietów wg cennika</x:v>
      </x:c>
      <x:c r="B11" s="14" t="n">
        <x:v>3100</x:v>
      </x:c>
      <x:c r="C11" s="14" t="n">
        <x:v>0</x:v>
      </x:c>
      <x:c r="D11" s="14" t="n">
        <x:v>7400</x:v>
      </x:c>
    </x:row>
    <x:row r="12" ht="28" customHeight="1">
      <x:c r="A12" s="13" t="str">
        <x:v>Termin dostawy</x:v>
      </x:c>
      <x:c r="B12" s="13" t="str">
        <x:v>8 tygodni</x:v>
      </x:c>
      <x:c r="C12" s="13" t="str">
        <x:v>14 tygodni</x:v>
      </x:c>
      <x:c r="D12" s="20" t="str">
        <x:v>6 tygodni; tylko 4 auta są od ręki</x:v>
      </x:c>
    </x:row>
    <x:row r="13" ht="28" customHeight="1">
      <x:c r="A13" s="13" t="str">
        <x:v>Uwagi</x:v>
      </x:c>
      <x:c r="B13" s="13" t="str">
        <x:v>Wydanie w salonie</x:v>
      </x:c>
      <x:c r="C13" s="13" t="str">
        <x:v>Transport do klienta +900 zł/szt.</x:v>
      </x:c>
      <x:c r="D13" s="20" t="str">
        <x:v>Oferta ważna 7 dni</x:v>
      </x:c>
    </x:row>
    <x:row r="14">
      <x:c r="A14" s="2"/>
      <x:c r="B14" s="2"/>
      <x:c r="C14" s="2"/>
      <x:c r="D14" s="2"/>
    </x:row>
    <x:row r="15" ht="24" customHeight="1">
      <x:c r="A15" s="21" t="str">
        <x:v>Źródło</x:v>
      </x:c>
      <x:c r="B15" s="23" t="str">
        <x:v>MHC_AI_w_sprzedazy_Codex_build_spec_v2.md, MODUŁ 4.</x:v>
      </x:c>
      <x:c r="C15" s="2"/>
      <x:c r="D15" s="2"/>
    </x:row>
    <x:row r="16" ht="24" customHeight="1">
      <x:c r="A16" s="21" t="str">
        <x:v>Dane modułu</x:v>
      </x:c>
      <x:c r="B16" s="23" t="str">
        <x:v>source/training_content.json, modules[id=4].</x:v>
      </x:c>
      <x:c r="C16" s="2"/>
      <x:c r="D16" s="2"/>
    </x:row>
  </x:sheetData>
  <x:pageMargins left="0.7" right="0.7" top="0.75" bottom="0.75" header="0.3" footer="0.3"/>
  <x:tableParts count="1">
    <x:tablePart xmlns:r="http://schemas.openxmlformats.org/officeDocument/2006/relationships" r:id="R078116fe473d441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32" hidden="0" customWidth="1"/>
    <x:col min="3" max="3" width="32" hidden="0" customWidth="1"/>
    <x:col min="4" max="4" width="32" hidden="0" customWidth="1"/>
  </x:cols>
  <x:sheetData>
    <x:row r="2">
      <x:c r="A2" s="4" t="str">
        <x:v>TRAINING / FICTIONAL DATA</x:v>
      </x:c>
      <x:c r="B2" s="3"/>
      <x:c r="C2" s="3"/>
      <x:c r="D2" s="3"/>
    </x:row>
    <x:row r="3">
      <x:c r="A3" s="5" t="str">
        <x:v>Obliczenia porównania ofert</x:v>
      </x:c>
      <x:c r="B3" s="2"/>
      <x:c r="C3" s="2"/>
      <x:c r="D3" s="2"/>
    </x:row>
    <x:row r="4" ht="34" customHeight="1">
      <x:c r="A4" s="24" t="str">
        <x:v>Wypełnij żółte pola. Policz ceny po rabacie, transport, wartość pakietów i koszt efektywny. Zapisz ryzyka oraz założenia. Sprawdź ręcznie jedno obliczenie.</x:v>
      </x:c>
      <x:c r="B4" s="11"/>
      <x:c r="C4" s="11"/>
      <x:c r="D4" s="11"/>
    </x:row>
    <x:row r="5">
      <x:c r="A5" s="26" t="str">
        <x:v>Ilość aut w zamówieniu</x:v>
      </x:c>
      <x:c r="B5" s="27" t="n">
        <x:v>12</x:v>
      </x:c>
      <x:c r="C5" s="2" t="str">
        <x:v>Kwoty netto, PLN</x:v>
      </x:c>
      <x:c r="D5" s="2"/>
    </x:row>
    <x:row r="6">
      <x:c r="A6" s="2"/>
      <x:c r="B6" s="2"/>
      <x:c r="C6" s="2"/>
      <x:c r="D6" s="2"/>
    </x:row>
    <x:row r="7">
      <x:c r="A7" s="31" t="str">
        <x:v>Krok</x:v>
      </x:c>
      <x:c r="B7" s="31" t="str">
        <x:v>Dealer A (Warszawa)</x:v>
      </x:c>
      <x:c r="C7" s="31" t="str">
        <x:v>Dealer B (Łódź)</x:v>
      </x:c>
      <x:c r="D7" s="31" t="str">
        <x:v>Dealer C (Poznań)</x:v>
      </x:c>
    </x:row>
    <x:row r="8" ht="26" customHeight="1">
      <x:c r="A8" s="39" t="str">
        <x:v>Rabat flotowy do wzoru</x:v>
      </x:c>
      <x:c r="B8" s="45"/>
      <x:c r="C8" s="45"/>
      <x:c r="D8" s="45"/>
    </x:row>
    <x:row r="9" ht="26" customHeight="1">
      <x:c r="A9" s="39" t="str">
        <x:v>Cena po rabacie / auto</x:v>
      </x:c>
      <x:c r="B9" s="46"/>
      <x:c r="C9" s="46"/>
      <x:c r="D9" s="46"/>
    </x:row>
    <x:row r="10" ht="26" customHeight="1">
      <x:c r="A10" s="39" t="str">
        <x:v>Transport / auto</x:v>
      </x:c>
      <x:c r="B10" s="46"/>
      <x:c r="C10" s="46"/>
      <x:c r="D10" s="46"/>
    </x:row>
    <x:row r="11" ht="26" customHeight="1">
      <x:c r="A11" s="39" t="str">
        <x:v>Transport dla 12 aut</x:v>
      </x:c>
      <x:c r="B11" s="46"/>
      <x:c r="C11" s="46"/>
      <x:c r="D11" s="46"/>
    </x:row>
    <x:row r="12" ht="26" customHeight="1">
      <x:c r="A12" s="39" t="str">
        <x:v>Wartość pakietów / auto</x:v>
      </x:c>
      <x:c r="B12" s="46"/>
      <x:c r="C12" s="46"/>
      <x:c r="D12" s="46"/>
    </x:row>
    <x:row r="13" ht="26" customHeight="1">
      <x:c r="A13" s="39" t="str">
        <x:v>Koszt efektywny / auto</x:v>
      </x:c>
      <x:c r="B13" s="46"/>
      <x:c r="C13" s="46"/>
      <x:c r="D13" s="46"/>
    </x:row>
    <x:row r="14" ht="26" customHeight="1">
      <x:c r="A14" s="39" t="str">
        <x:v>Koszt efektywny dla 12 aut</x:v>
      </x:c>
      <x:c r="B14" s="46"/>
      <x:c r="C14" s="46"/>
      <x:c r="D14" s="46"/>
    </x:row>
    <x:row r="15">
      <x:c r="A15" s="11"/>
      <x:c r="B15" s="11"/>
      <x:c r="C15" s="11"/>
      <x:c r="D15" s="11"/>
    </x:row>
    <x:row r="16" ht="36" customHeight="1">
      <x:c r="A16" s="37" t="str">
        <x:v>Ryzyko terminu i dostępności</x:v>
      </x:c>
      <x:c r="B16" s="38" t="str"/>
      <x:c r="C16" s="38" t="str"/>
      <x:c r="D16" s="38" t="str"/>
    </x:row>
    <x:row r="17" ht="36" customHeight="1">
      <x:c r="A17" s="39" t="str">
        <x:v>Rocznik cennika i ważność</x:v>
      </x:c>
      <x:c r="B17" s="20" t="str"/>
      <x:c r="C17" s="20" t="str"/>
      <x:c r="D17" s="20" t="str"/>
    </x:row>
    <x:row r="18" ht="36" customHeight="1">
      <x:c r="A18" s="39" t="str">
        <x:v>Założenia do potwierdzenia</x:v>
      </x:c>
      <x:c r="B18" s="20" t="str"/>
      <x:c r="C18" s="20" t="str"/>
      <x:c r="D18" s="20" t="str"/>
    </x:row>
    <x:row r="19">
      <x:c r="A19" s="11"/>
      <x:c r="B19" s="11"/>
      <x:c r="C19" s="11"/>
      <x:c r="D19" s="11"/>
    </x:row>
    <x:row r="20">
      <x:c r="A20" s="47" t="str">
        <x:v>Ręczna kontrola jednego obliczenia</x:v>
      </x:c>
      <x:c r="B20" s="47"/>
      <x:c r="C20" s="47"/>
      <x:c r="D20" s="47"/>
    </x:row>
    <x:row r="21" ht="30" customHeight="1">
      <x:c r="A21" s="37" t="str">
        <x:v>Wybrane obliczenie</x:v>
      </x:c>
      <x:c r="B21" s="38"/>
      <x:c r="C21" s="38"/>
      <x:c r="D21" s="38"/>
    </x:row>
    <x:row r="22" ht="30" customHeight="1">
      <x:c r="A22" s="39" t="str">
        <x:v>Wzór policzony ręcznie</x:v>
      </x:c>
      <x:c r="B22" s="20"/>
      <x:c r="C22" s="20"/>
      <x:c r="D22" s="20"/>
    </x:row>
    <x:row r="23" ht="30" customHeight="1">
      <x:c r="A23" s="39" t="str">
        <x:v>Wynik i zgodność</x:v>
      </x:c>
      <x:c r="B23" s="20"/>
      <x:c r="C23" s="20"/>
      <x:c r="D23" s="20"/>
    </x:row>
    <x:row r="24">
      <x:c r="A24" s="2"/>
      <x:c r="B24" s="2"/>
      <x:c r="C24" s="2"/>
      <x:c r="D24" s="2"/>
    </x:row>
    <x:row r="25">
      <x:c r="A25" s="22" t="str">
        <x:v>Żółte pola są przeznaczone do pracy uczestnika.</x:v>
      </x:c>
      <x:c r="B25" s="2"/>
      <x:c r="C25" s="2"/>
      <x:c r="D25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58" hidden="0" customWidth="1"/>
  </x:cols>
  <x:sheetData>
    <x:row r="2">
      <x:c r="A2" s="4" t="str">
        <x:v>TRAINING / FICTIONAL DATA (tylko trener)</x:v>
      </x:c>
      <x:c r="B2" s="3"/>
      <x:c r="C2" s="3"/>
      <x:c r="D2" s="3"/>
      <x:c r="E2" s="3"/>
      <x:c r="F2" s="3"/>
      <x:c r="G2" s="3"/>
      <x:c r="H2" s="3"/>
      <x:c r="I2" s="3"/>
      <x:c r="J2" s="3"/>
    </x:row>
    <x:row r="3">
      <x:c r="A3" s="5" t="str">
        <x:v>Trainer check. Nie pokazywać przed zakończeniem ćwiczenia.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>
      <x:c r="A4" s="26" t="str">
        <x:v>Ilość aut w zamówieniu</x:v>
      </x:c>
      <x:c r="B4" s="25" t="n">
        <x:v>12</x:v>
      </x:c>
      <x:c r="C4" s="2"/>
      <x:c r="D4" s="2"/>
      <x:c r="E4" s="2"/>
      <x:c r="F4" s="2"/>
      <x:c r="G4" s="2"/>
      <x:c r="H4" s="2"/>
      <x:c r="I4" s="2"/>
      <x:c r="J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ht="48" customHeight="1">
      <x:c r="A6" s="50" t="str">
        <x:v>Dealer</x:v>
      </x:c>
      <x:c r="B6" s="50" t="str">
        <x:v>Cena katalogowa / auto</x:v>
      </x:c>
      <x:c r="C6" s="50" t="str">
        <x:v>Rabat do wzoru</x:v>
      </x:c>
      <x:c r="D6" s="50" t="str">
        <x:v>Cena po rabacie / auto</x:v>
      </x:c>
      <x:c r="E6" s="50" t="str">
        <x:v>Transport / auto</x:v>
      </x:c>
      <x:c r="F6" s="50" t="str">
        <x:v>Transport dla 12 aut</x:v>
      </x:c>
      <x:c r="G6" s="50" t="str">
        <x:v>Pakiety wg cennika / auto</x:v>
      </x:c>
      <x:c r="H6" s="50" t="str">
        <x:v>Koszt efektywny / auto</x:v>
      </x:c>
      <x:c r="I6" s="50" t="str">
        <x:v>Koszt efektywny dla 12 aut</x:v>
      </x:c>
      <x:c r="J6" s="50" t="str">
        <x:v>Uwagi</x:v>
      </x:c>
    </x:row>
    <x:row r="7" ht="48" customHeight="1">
      <x:c r="A7" s="66" t="str">
        <x:v>Dealer A (Warszawa)</x:v>
      </x:c>
      <x:c r="B7" s="67" t="n">
        <x:f>'Oferty'!B8</x:f>
        <x:v>132500</x:v>
      </x:c>
      <x:c r="C7" s="68" t="n">
        <x:f>'Oferty'!B9</x:f>
        <x:v>0.14</x:v>
      </x:c>
      <x:c r="D7" s="69" t="n">
        <x:f>B7*(1-C7)</x:f>
        <x:v>113950</x:v>
      </x:c>
      <x:c r="E7" s="70" t="n">
        <x:v>0</x:v>
      </x:c>
      <x:c r="F7" s="69" t="n">
        <x:f>E7*$B$4</x:f>
        <x:v>0</x:v>
      </x:c>
      <x:c r="G7" s="71" t="n">
        <x:f>'Oferty'!B11</x:f>
        <x:v>3100</x:v>
      </x:c>
      <x:c r="H7" s="69" t="n">
        <x:f>D7+E7-G7</x:f>
        <x:v>110850</x:v>
      </x:c>
      <x:c r="I7" s="69" t="n">
        <x:f>H7*$B$4</x:f>
        <x:v>1330200</x:v>
      </x:c>
      <x:c r="J7" s="66" t="str">
        <x:v>Wydanie w salonie. Transport nie został wyceniony.</x:v>
      </x:c>
    </x:row>
    <x:row r="8" ht="48" customHeight="1">
      <x:c r="A8" s="72" t="str">
        <x:v>Dealer B (Łódź)</x:v>
      </x:c>
      <x:c r="B8" s="73" t="n">
        <x:f>'Oferty'!C8</x:f>
        <x:v>132500</x:v>
      </x:c>
      <x:c r="C8" s="74" t="n">
        <x:f>'Oferty'!C9</x:f>
        <x:v>0.16</x:v>
      </x:c>
      <x:c r="D8" s="75" t="n">
        <x:f>B8*(1-C8)</x:f>
        <x:v>111300</x:v>
      </x:c>
      <x:c r="E8" s="76" t="n">
        <x:v>900</x:v>
      </x:c>
      <x:c r="F8" s="75" t="n">
        <x:f>E8*$B$4</x:f>
        <x:v>10800</x:v>
      </x:c>
      <x:c r="G8" s="77" t="n">
        <x:f>'Oferty'!C11</x:f>
        <x:v>0</x:v>
      </x:c>
      <x:c r="H8" s="75" t="n">
        <x:f>D8+E8-G8</x:f>
        <x:v>112200</x:v>
      </x:c>
      <x:c r="I8" s="75" t="n">
        <x:f>H8*$B$4</x:f>
        <x:v>1346400</x:v>
      </x:c>
      <x:c r="J8" s="72" t="str">
        <x:v>Transport do klienta: 900 zł/szt.</x:v>
      </x:c>
    </x:row>
    <x:row r="9" ht="48" customHeight="1">
      <x:c r="A9" s="72" t="str">
        <x:v>Dealer C (Poznań)</x:v>
      </x:c>
      <x:c r="B9" s="73" t="n">
        <x:f>'Oferty'!D8</x:f>
        <x:v>131900</x:v>
      </x:c>
      <x:c r="C9" s="74" t="n">
        <x:f>'Oferty'!D9</x:f>
        <x:v>0.12</x:v>
      </x:c>
      <x:c r="D9" s="75" t="n">
        <x:f>B9*(1-C9)</x:f>
        <x:v>116072</x:v>
      </x:c>
      <x:c r="E9" s="76" t="n">
        <x:v>0</x:v>
      </x:c>
      <x:c r="F9" s="75" t="n">
        <x:f>E9*$B$4</x:f>
        <x:v>0</x:v>
      </x:c>
      <x:c r="G9" s="77" t="n">
        <x:f>'Oferty'!D11</x:f>
        <x:v>7400</x:v>
      </x:c>
      <x:c r="H9" s="75" t="n">
        <x:f>D9+E9-G9</x:f>
        <x:v>108672</x:v>
      </x:c>
      <x:c r="I9" s="75" t="n">
        <x:f>H9*$B$4</x:f>
        <x:v>1304064</x:v>
      </x:c>
      <x:c r="J9" s="72" t="str">
        <x:v>Inny rocznik cennika. Tylko 4 auta od ręki; pozostałe 8 aut w 6 tygodni. Oferta ważna 7 dni.</x:v>
      </x:c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</x:row>
    <x:row r="11">
      <x:c r="A11" s="41" t="str">
        <x:v>Założenia i wyniki kontrolne</x:v>
      </x:c>
      <x:c r="B11" s="41"/>
      <x:c r="C11" s="41"/>
      <x:c r="D11" s="41"/>
      <x:c r="E11" s="41"/>
      <x:c r="F11" s="41"/>
      <x:c r="G11" s="41"/>
      <x:c r="H11" s="41"/>
      <x:c r="I11" s="41"/>
      <x:c r="J11" s="41"/>
    </x:row>
    <x:row r="12" ht="22" customHeight="1">
      <x:c r="A12" s="64" t="str">
        <x:v>Cena po rabacie = cena katalogowa netto × (1 − rabat flotowy).</x:v>
      </x:c>
      <x:c r="B12" s="64"/>
      <x:c r="C12" s="64"/>
      <x:c r="D12" s="64"/>
      <x:c r="E12" s="64"/>
      <x:c r="F12" s="64"/>
      <x:c r="G12" s="64"/>
      <x:c r="H12" s="64"/>
      <x:c r="I12" s="64"/>
      <x:c r="J12" s="64"/>
    </x:row>
    <x:row r="13" ht="22" customHeight="1">
      <x:c r="A13" s="64" t="str">
        <x:v>Koszt efektywny = cena po rabacie + transport / auto − wartość pakietów wg cennika.</x:v>
      </x:c>
      <x:c r="B13" s="64"/>
      <x:c r="C13" s="64"/>
      <x:c r="D13" s="64"/>
      <x:c r="E13" s="64"/>
      <x:c r="F13" s="64"/>
      <x:c r="G13" s="64"/>
      <x:c r="H13" s="64"/>
      <x:c r="I13" s="64"/>
      <x:c r="J13" s="64"/>
    </x:row>
    <x:row r="14" ht="22" customHeight="1">
      <x:c r="A14" s="64" t="str">
        <x:v>Wartość pakietów jest wartością cennikową do porównania; potwierdź, czy pakiety zastępują potrzebne zakupy klienta.</x:v>
      </x:c>
      <x:c r="B14" s="64"/>
      <x:c r="C14" s="64"/>
      <x:c r="D14" s="64"/>
      <x:c r="E14" s="64"/>
      <x:c r="F14" s="64"/>
      <x:c r="G14" s="64"/>
      <x:c r="H14" s="64"/>
      <x:c r="I14" s="64"/>
      <x:c r="J14" s="64"/>
    </x:row>
    <x:row r="15" ht="22" customHeight="1">
      <x:c r="A15" s="64" t="str">
        <x:v>Dealer B: kontrola transportu dla zamówienia = 900 zł × 12 aut = 10 800 zł.</x:v>
      </x:c>
      <x:c r="B15" s="64"/>
      <x:c r="C15" s="64"/>
      <x:c r="D15" s="64"/>
      <x:c r="E15" s="64"/>
      <x:c r="F15" s="64"/>
      <x:c r="G15" s="64"/>
      <x:c r="H15" s="64"/>
      <x:c r="I15" s="64"/>
      <x:c r="J15" s="64"/>
    </x:row>
    <x:row r="16" ht="22" customHeight="1">
      <x:c r="A16" s="64" t="str">
        <x:v>A i C: transport przyjęty jako 0 zł, ponieważ źródło nie podaje opłaty. Potwierdź koszt przed porównaniem.</x:v>
      </x:c>
      <x:c r="B16" s="64"/>
      <x:c r="C16" s="64"/>
      <x:c r="D16" s="64"/>
      <x:c r="E16" s="64"/>
      <x:c r="F16" s="64"/>
      <x:c r="G16" s="64"/>
      <x:c r="H16" s="64"/>
      <x:c r="I16" s="64"/>
      <x:c r="J16" s="64"/>
    </x:row>
    <x:row r="17" ht="22" customHeight="1">
      <x:c r="A17" s="64" t="str">
        <x:v>C: cena 131 900 zł pochodzi z innego rocznika cennika. Rabat 12% policzono od tej kwoty wyłącznie na potrzeby ćwiczenia; potwierdź podstawę rabatu.</x:v>
      </x:c>
      <x:c r="B17" s="64"/>
      <x:c r="C17" s="64"/>
      <x:c r="D17" s="64"/>
      <x:c r="E17" s="64"/>
      <x:c r="F17" s="64"/>
      <x:c r="G17" s="64"/>
      <x:c r="H17" s="64"/>
      <x:c r="I17" s="64"/>
      <x:c r="J17" s="64"/>
    </x:row>
    <x:row r="18" ht="22" customHeight="1">
      <x:c r="A18" s="64" t="str">
        <x:v>C: 4 auta są dostępne od ręki; pozostałe 8 aut mają wskazany termin 6 tygodni. Nie traktuj 12 aut jako dostępnych od ręki.</x:v>
      </x:c>
      <x:c r="B18" s="64"/>
      <x:c r="C18" s="64"/>
      <x:c r="D18" s="64"/>
      <x:c r="E18" s="64"/>
      <x:c r="F18" s="64"/>
      <x:c r="G18" s="64"/>
      <x:c r="H18" s="64"/>
      <x:c r="I18" s="64"/>
      <x:c r="J18" s="64"/>
    </x:row>
    <x:row r="19" ht="22" customHeight="1">
      <x:c r="A19" s="64" t="str">
        <x:v>C: oferta jest ważna 7 dni; potwierdź aktualność terminu i warunków.</x:v>
      </x:c>
      <x:c r="B19" s="64"/>
      <x:c r="C19" s="64"/>
      <x:c r="D19" s="64"/>
      <x:c r="E19" s="64"/>
      <x:c r="F19" s="64"/>
      <x:c r="G19" s="64"/>
      <x:c r="H19" s="64"/>
      <x:c r="I19" s="64"/>
      <x:c r="J19" s="64"/>
    </x:row>
  </x:sheetData>
  <x:pageMargins left="0.7" right="0.7" top="0.75" bottom="0.75" header="0.3" footer="0.3"/>
</x:worksheet>
</file>